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blonskip\eclipse-workspace\SmartSensor\zdjecia szmatek testowych\"/>
    </mc:Choice>
  </mc:AlternateContent>
  <bookViews>
    <workbookView xWindow="0" yWindow="0" windowWidth="23040" windowHeight="9348"/>
  </bookViews>
  <sheets>
    <sheet name="Arkusz1" sheetId="1" r:id="rId1"/>
  </sheets>
  <definedNames>
    <definedName name="_xlchart.v1.0" hidden="1">Arkusz1!$A$14</definedName>
    <definedName name="_xlchart.v1.1" hidden="1">Arkusz1!$A$3:$A$10</definedName>
    <definedName name="_xlchart.v1.10" hidden="1">Arkusz1!$D$14:$D$19</definedName>
    <definedName name="_xlchart.v1.11" hidden="1">Arkusz1!$D$4:$D$10</definedName>
    <definedName name="_xlchart.v1.2" hidden="1">Arkusz1!$B$14:$B$19</definedName>
    <definedName name="_xlchart.v1.3" hidden="1">Arkusz1!$B$4:$B$10</definedName>
    <definedName name="_xlchart.v1.4" hidden="1">Arkusz1!$D$14:$D$19</definedName>
    <definedName name="_xlchart.v1.5" hidden="1">Arkusz1!$D$4:$D$10</definedName>
    <definedName name="_xlchart.v1.6" hidden="1">Arkusz1!$A$14</definedName>
    <definedName name="_xlchart.v1.7" hidden="1">Arkusz1!$A$3:$A$10</definedName>
    <definedName name="_xlchart.v1.8" hidden="1">Arkusz1!$B$14:$B$19</definedName>
    <definedName name="_xlchart.v1.9" hidden="1">Arkusz1!$B$4:$B$10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" i="1" l="1"/>
  <c r="D16" i="1"/>
  <c r="D17" i="1"/>
  <c r="D18" i="1"/>
  <c r="D19" i="1"/>
  <c r="D14" i="1"/>
  <c r="D5" i="1"/>
  <c r="D6" i="1"/>
  <c r="D7" i="1"/>
  <c r="D8" i="1"/>
  <c r="D9" i="1"/>
  <c r="D10" i="1"/>
  <c r="D4" i="1"/>
</calcChain>
</file>

<file path=xl/sharedStrings.xml><?xml version="1.0" encoding="utf-8"?>
<sst xmlns="http://schemas.openxmlformats.org/spreadsheetml/2006/main" count="8" uniqueCount="5">
  <si>
    <t>M</t>
  </si>
  <si>
    <t>MC</t>
  </si>
  <si>
    <t>dig:</t>
  </si>
  <si>
    <t>Plastikowa koszulka</t>
  </si>
  <si>
    <t>Cotton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</si>
</sst>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9" formatCode="0.0"/>
  </numFmts>
  <fonts count="1" x14ac:knownFonts="1">
    <font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9" fontId="0" fillId="0" borderId="0" xfId="0" applyNumberFormat="1"/>
    <xf numFmtId="0" fontId="0" fillId="0" borderId="0" xfId="0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100" b="1" i="0" baseline="0"/>
              <a:t>ESP32 TP moisture sensing</a:t>
            </a:r>
            <a:br>
              <a:rPr lang="pl-PL" sz="1100" b="1" i="0" baseline="0"/>
            </a:br>
            <a:r>
              <a:rPr lang="pl-PL" sz="1100" b="1" i="0" baseline="0"/>
              <a:t>electrode behind 1mm glass</a:t>
            </a:r>
            <a:endParaRPr lang="en-GB" sz="1100" b="1" i="0" baseline="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Arkusz1!$A$3:$A$10</c:f>
              <c:strCache>
                <c:ptCount val="8"/>
                <c:pt idx="1">
                  <c:v>Cotton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Arkusz1!$D$4:$D$10</c:f>
              <c:numCache>
                <c:formatCode>0.0</c:formatCode>
                <c:ptCount val="7"/>
                <c:pt idx="0">
                  <c:v>0</c:v>
                </c:pt>
                <c:pt idx="1">
                  <c:v>84.92307692307692</c:v>
                </c:pt>
                <c:pt idx="2">
                  <c:v>44.430769230769229</c:v>
                </c:pt>
                <c:pt idx="3">
                  <c:v>28.92307692307692</c:v>
                </c:pt>
                <c:pt idx="4">
                  <c:v>17.230769230769226</c:v>
                </c:pt>
                <c:pt idx="5">
                  <c:v>8.3076923076923279</c:v>
                </c:pt>
                <c:pt idx="6">
                  <c:v>4.1846153846153866</c:v>
                </c:pt>
              </c:numCache>
            </c:numRef>
          </c:xVal>
          <c:yVal>
            <c:numRef>
              <c:f>Arkusz1!$B$4:$B$10</c:f>
              <c:numCache>
                <c:formatCode>General</c:formatCode>
                <c:ptCount val="7"/>
                <c:pt idx="1">
                  <c:v>413</c:v>
                </c:pt>
                <c:pt idx="2">
                  <c:v>450</c:v>
                </c:pt>
                <c:pt idx="3">
                  <c:v>512</c:v>
                </c:pt>
                <c:pt idx="4">
                  <c:v>645</c:v>
                </c:pt>
                <c:pt idx="5">
                  <c:v>715</c:v>
                </c:pt>
                <c:pt idx="6">
                  <c:v>787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A1-43D2-96A2-41F95E70E72B}"/>
            </c:ext>
          </c:extLst>
        </c:ser>
        <c:ser>
          <c:idx val="1"/>
          <c:order val="1"/>
          <c:tx>
            <c:strRef>
              <c:f>Arkusz1!$A$14</c:f>
              <c:strCache>
                <c:ptCount val="1"/>
                <c:pt idx="0">
                  <c:v>Plastikowa koszulka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Arkusz1!$D$14:$D$19</c:f>
              <c:numCache>
                <c:formatCode>0.0</c:formatCode>
                <c:ptCount val="6"/>
                <c:pt idx="0">
                  <c:v>0</c:v>
                </c:pt>
                <c:pt idx="1">
                  <c:v>90.11997177134792</c:v>
                </c:pt>
                <c:pt idx="2">
                  <c:v>56.739590684544815</c:v>
                </c:pt>
                <c:pt idx="3">
                  <c:v>21.94777699364856</c:v>
                </c:pt>
                <c:pt idx="4">
                  <c:v>7.2688779110797519</c:v>
                </c:pt>
                <c:pt idx="5">
                  <c:v>-2.6817219477769938</c:v>
                </c:pt>
              </c:numCache>
            </c:numRef>
          </c:xVal>
          <c:yVal>
            <c:numRef>
              <c:f>Arkusz1!$B$14:$B$19</c:f>
              <c:numCache>
                <c:formatCode>General</c:formatCode>
                <c:ptCount val="6"/>
                <c:pt idx="1">
                  <c:v>235</c:v>
                </c:pt>
                <c:pt idx="2">
                  <c:v>278</c:v>
                </c:pt>
                <c:pt idx="3">
                  <c:v>280</c:v>
                </c:pt>
                <c:pt idx="4">
                  <c:v>436</c:v>
                </c:pt>
                <c:pt idx="5">
                  <c:v>692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1A1-43D2-96A2-41F95E70E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6996848"/>
        <c:axId val="477004064"/>
      </c:scatterChart>
      <c:valAx>
        <c:axId val="476996848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MC [%]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004064"/>
        <c:crosses val="autoZero"/>
        <c:crossBetween val="midCat"/>
      </c:valAx>
      <c:valAx>
        <c:axId val="477004064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dig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996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495300</xdr:colOff>
      <xdr:row>2</xdr:row>
      <xdr:rowOff>152400</xdr:rowOff>
    </xdr:from>
    <xdr:to>
      <xdr:col>13</xdr:col>
      <xdr:colOff>312420</xdr:colOff>
      <xdr:row>29</xdr:row>
      <xdr:rowOff>106680</xdr:rowOff>
    </xdr:to>
    <xdr:graphicFrame macro="">
      <xdr:nvGraphicFramePr>
        <xdr:cNvPr id="2" name="Wykres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9"/>
  <sheetViews>
    <sheetView tabSelected="1" workbookViewId="0">
      <selection activeCell="O17" sqref="O17"/>
    </sheetView>
  </sheetViews>
  <sheetFormatPr defaultRowHeight="13.2" x14ac:dyDescent="0.25"/>
  <cols>
    <col min="1" max="1" width="26.6640625" customWidth="1"/>
    <col min="4" max="4" width="9.5546875" bestFit="1" customWidth="1"/>
  </cols>
  <sheetData>
    <row r="3" spans="1:4" x14ac:dyDescent="0.25">
      <c r="B3" t="s">
        <v>2</v>
      </c>
      <c r="C3" t="s">
        <v>0</v>
      </c>
      <c r="D3" t="s">
        <v>1</v>
      </c>
    </row>
    <row r="4" spans="1:4" x14ac:dyDescent="0.25">
      <c r="A4" s="2" t="s">
        <v>4</v>
      </c>
      <c r="C4">
        <v>16.25</v>
      </c>
      <c r="D4" s="1">
        <f>(C4/$C$4 - 1)*100</f>
        <v>0</v>
      </c>
    </row>
    <row r="5" spans="1:4" x14ac:dyDescent="0.25">
      <c r="A5" s="2"/>
      <c r="B5">
        <v>413</v>
      </c>
      <c r="C5">
        <v>30.05</v>
      </c>
      <c r="D5" s="1">
        <f t="shared" ref="D5:D10" si="0">(C5/$C$4 - 1)*100</f>
        <v>84.92307692307692</v>
      </c>
    </row>
    <row r="6" spans="1:4" x14ac:dyDescent="0.25">
      <c r="A6" s="2"/>
      <c r="B6">
        <v>450</v>
      </c>
      <c r="C6">
        <v>23.47</v>
      </c>
      <c r="D6" s="1">
        <f t="shared" si="0"/>
        <v>44.430769230769229</v>
      </c>
    </row>
    <row r="7" spans="1:4" x14ac:dyDescent="0.25">
      <c r="A7" s="2"/>
      <c r="B7">
        <v>512</v>
      </c>
      <c r="C7">
        <v>20.95</v>
      </c>
      <c r="D7" s="1">
        <f t="shared" si="0"/>
        <v>28.92307692307692</v>
      </c>
    </row>
    <row r="8" spans="1:4" x14ac:dyDescent="0.25">
      <c r="A8" s="2"/>
      <c r="B8">
        <v>645</v>
      </c>
      <c r="C8">
        <v>19.05</v>
      </c>
      <c r="D8" s="1">
        <f t="shared" si="0"/>
        <v>17.230769230769226</v>
      </c>
    </row>
    <row r="9" spans="1:4" x14ac:dyDescent="0.25">
      <c r="A9" s="2"/>
      <c r="B9">
        <v>715</v>
      </c>
      <c r="C9">
        <v>17.600000000000001</v>
      </c>
      <c r="D9" s="1">
        <f t="shared" si="0"/>
        <v>8.3076923076923279</v>
      </c>
    </row>
    <row r="10" spans="1:4" x14ac:dyDescent="0.25">
      <c r="A10" s="2"/>
      <c r="B10">
        <v>787</v>
      </c>
      <c r="C10">
        <v>16.93</v>
      </c>
      <c r="D10" s="1">
        <f t="shared" si="0"/>
        <v>4.1846153846153866</v>
      </c>
    </row>
    <row r="13" spans="1:4" x14ac:dyDescent="0.25">
      <c r="B13" t="s">
        <v>2</v>
      </c>
      <c r="C13" t="s">
        <v>0</v>
      </c>
      <c r="D13" t="s">
        <v>1</v>
      </c>
    </row>
    <row r="14" spans="1:4" x14ac:dyDescent="0.25">
      <c r="A14" s="2" t="s">
        <v>3</v>
      </c>
      <c r="C14">
        <v>14.17</v>
      </c>
      <c r="D14" s="1">
        <f>(C14/$C$14 - 1)*100</f>
        <v>0</v>
      </c>
    </row>
    <row r="15" spans="1:4" x14ac:dyDescent="0.25">
      <c r="A15" s="2"/>
      <c r="B15">
        <v>235</v>
      </c>
      <c r="C15">
        <v>26.94</v>
      </c>
      <c r="D15" s="1">
        <f t="shared" ref="D15:D19" si="1">(C15/$C$14 - 1)*100</f>
        <v>90.11997177134792</v>
      </c>
    </row>
    <row r="16" spans="1:4" x14ac:dyDescent="0.25">
      <c r="A16" s="2"/>
      <c r="B16">
        <v>278</v>
      </c>
      <c r="C16">
        <v>22.21</v>
      </c>
      <c r="D16" s="1">
        <f t="shared" si="1"/>
        <v>56.739590684544815</v>
      </c>
    </row>
    <row r="17" spans="1:4" x14ac:dyDescent="0.25">
      <c r="A17" s="2"/>
      <c r="B17">
        <v>280</v>
      </c>
      <c r="C17">
        <v>17.28</v>
      </c>
      <c r="D17" s="1">
        <f t="shared" si="1"/>
        <v>21.94777699364856</v>
      </c>
    </row>
    <row r="18" spans="1:4" x14ac:dyDescent="0.25">
      <c r="A18" s="2"/>
      <c r="B18">
        <v>436</v>
      </c>
      <c r="C18">
        <v>15.2</v>
      </c>
      <c r="D18" s="1">
        <f t="shared" si="1"/>
        <v>7.2688779110797519</v>
      </c>
    </row>
    <row r="19" spans="1:4" x14ac:dyDescent="0.25">
      <c r="A19" s="2"/>
      <c r="B19">
        <v>692</v>
      </c>
      <c r="C19">
        <v>13.79</v>
      </c>
      <c r="D19" s="1">
        <f t="shared" si="1"/>
        <v>-2.6817219477769938</v>
      </c>
    </row>
  </sheetData>
  <mergeCells count="2">
    <mergeCell ref="A4:A10"/>
    <mergeCell ref="A14:A19"/>
  </mergeCells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>BSH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Jablonski, Piotr (REU/OP-LCDLDD)</dc:creator>
  <cp:lastModifiedBy>Jablonski, Piotr (REU/OP-LCDLDD)</cp:lastModifiedBy>
  <dcterms:created xsi:type="dcterms:W3CDTF">2021-09-08T14:04:58Z</dcterms:created>
  <dcterms:modified xsi:type="dcterms:W3CDTF">2021-09-08T18:38:15Z</dcterms:modified>
</cp:coreProperties>
</file>